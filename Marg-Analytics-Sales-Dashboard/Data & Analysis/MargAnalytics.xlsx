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1561743a825db6f2/Documents/AkoladeDSJourney/Marg-Analytics-Sales-Dashboard/Data &amp; Analysis/"/>
    </mc:Choice>
  </mc:AlternateContent>
  <xr:revisionPtr revIDLastSave="2" documentId="13_ncr:1_{E5404A30-C17D-48AF-9C59-119882370D86}" xr6:coauthVersionLast="47" xr6:coauthVersionMax="47" xr10:uidLastSave="{5E1EB2C7-49BE-4A1A-B631-4BCBA4DED640}"/>
  <bookViews>
    <workbookView xWindow="-120" yWindow="-120" windowWidth="20730" windowHeight="11040" activeTab="1" xr2:uid="{FD736105-A461-4708-B902-2A05B2FF5345}"/>
  </bookViews>
  <sheets>
    <sheet name="PivotTables" sheetId="1" r:id="rId1"/>
    <sheet name="Dashboard" sheetId="2" r:id="rId2"/>
  </sheets>
  <definedNames>
    <definedName name="Slicer_Region">#N/A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de3f4b55-63c1-441b-8bb1-9e191a9e138f" name="Sales_Data" connection="Query - Sales_Data"/>
        </x15:modelTables>
        <x15:extLst>
          <ext xmlns:x16="http://schemas.microsoft.com/office/spreadsheetml/2014/11/main" uri="{9835A34E-60A6-4A7C-AAB8-D5F71C897F49}">
            <x16:modelTimeGroupings>
              <x16:modelTimeGrouping tableName="Sales_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1" i="1" l="1"/>
  <c r="E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82E7A1-349B-4BE2-8A06-4571798282A6}" name="Query - Sales_Data" description="Connection to the 'Sales_Data' query in the workbook." type="100" refreshedVersion="8" minRefreshableVersion="5">
    <extLst>
      <ext xmlns:x15="http://schemas.microsoft.com/office/spreadsheetml/2010/11/main" uri="{DE250136-89BD-433C-8126-D09CA5730AF9}">
        <x15:connection id="c531e1ac-0084-4379-ab1f-b5341c8ae582"/>
      </ext>
    </extLst>
  </connection>
  <connection id="2" xr16:uid="{1E328AFE-46D2-4D77-872C-51552BC331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<sst xmlns="http://schemas.openxmlformats.org/spreadsheetml/2006/main" count="63" uniqueCount="51">
  <si>
    <t>Total Revenue</t>
  </si>
  <si>
    <t>Total Orders</t>
  </si>
  <si>
    <t>Total Quantity Sold</t>
  </si>
  <si>
    <t>Average Order Value</t>
  </si>
  <si>
    <t>Grand Total</t>
  </si>
  <si>
    <t>Jan</t>
  </si>
  <si>
    <t>Feb</t>
  </si>
  <si>
    <t>Mar</t>
  </si>
  <si>
    <t>Apr</t>
  </si>
  <si>
    <t>May</t>
  </si>
  <si>
    <t>Jun</t>
  </si>
  <si>
    <t>Jul</t>
  </si>
  <si>
    <t>Aug</t>
  </si>
  <si>
    <t>Sep</t>
  </si>
  <si>
    <t>Oct</t>
  </si>
  <si>
    <t>Nov</t>
  </si>
  <si>
    <t>Dec</t>
  </si>
  <si>
    <t>Month</t>
  </si>
  <si>
    <t>Revenue by Month</t>
  </si>
  <si>
    <t>Central</t>
  </si>
  <si>
    <t>East</t>
  </si>
  <si>
    <t>North</t>
  </si>
  <si>
    <t>South</t>
  </si>
  <si>
    <t>West</t>
  </si>
  <si>
    <t>Accessories</t>
  </si>
  <si>
    <t>Computers</t>
  </si>
  <si>
    <t>Monitors</t>
  </si>
  <si>
    <t>Networking</t>
  </si>
  <si>
    <t>Office Supplies</t>
  </si>
  <si>
    <t>Storage</t>
  </si>
  <si>
    <t>Corporate Sales</t>
  </si>
  <si>
    <t>Marketplace</t>
  </si>
  <si>
    <t>Online</t>
  </si>
  <si>
    <t>Retail Store</t>
  </si>
  <si>
    <t>All-in-One PC</t>
  </si>
  <si>
    <t>Gaming Laptop</t>
  </si>
  <si>
    <t>Laptop Air 13</t>
  </si>
  <si>
    <t>Laptop Pro 14</t>
  </si>
  <si>
    <t>Ultrawide Monitor</t>
  </si>
  <si>
    <t>Product</t>
  </si>
  <si>
    <t>Product Category</t>
  </si>
  <si>
    <t>Region</t>
  </si>
  <si>
    <t>Sales Channel</t>
  </si>
  <si>
    <t>Revenue by Region</t>
  </si>
  <si>
    <t>Revenue by Product Category</t>
  </si>
  <si>
    <t>Top 5 by Product by Revenue</t>
  </si>
  <si>
    <t>Revenue by Sales Channel</t>
  </si>
  <si>
    <t>New</t>
  </si>
  <si>
    <t>Returning</t>
  </si>
  <si>
    <t>Customer Type</t>
  </si>
  <si>
    <t>Revenue by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</si>
</sst>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 #,##0.00,,&quot;M&quot;;[&gt;=1000]\₦\ #.00,&quot;K&quot;;\₦\ ###.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3"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 fontId="0" fillId="0" borderId="0" xfId="0" applyNumberFormat="1"/>
    <xf numFmtId="10" fontId="0" fillId="0" borderId="0" xfId="1" applyNumberFormat="1" applyFont="1"/>
  </cellXfs>
  <cellStyles count="2">
    <cellStyle name="Normal" xfId="0" builtinId="0"/>
    <cellStyle name="Percent" xfId="1" builtinId="5"/>
  </cellStyles>
  <dxfs count="10">
    <dxf>
      <numFmt numFmtId="164" formatCode="[&gt;=1000000]\₦\ #,##0.00,,&quot;M&quot;;[&gt;=1000]\₦\ #.00,&quot;K&quot;;\₦\ ###.00"/>
    </dxf>
    <dxf>
      <numFmt numFmtId="1" formatCode="0"/>
    </dxf>
    <dxf>
      <numFmt numFmtId="164" formatCode="[&gt;=1000000]\₦\ #,##0.00,,&quot;M&quot;;[&gt;=1000]\₦\ #.00,&quot;K&quot;;\₦\ ###.00"/>
    </dxf>
    <dxf>
      <numFmt numFmtId="164" formatCode="[&gt;=1000000]\₦\ #,##0.00,,&quot;M&quot;;[&gt;=1000]\₦\ #.00,&quot;K&quot;;\₦\ ###.00"/>
    </dxf>
    <dxf>
      <numFmt numFmtId="164" formatCode="[&gt;=1000000]\₦\ #,##0.00,,&quot;M&quot;;[&gt;=1000]\₦\ #.00,&quot;K&quot;;\₦\ ###.00"/>
    </dxf>
    <dxf>
      <numFmt numFmtId="164" formatCode="[&gt;=1000000]\₦\ #,##0.00,,&quot;M&quot;;[&gt;=1000]\₦\ #.00,&quot;K&quot;;\₦\ ###.00"/>
    </dxf>
    <dxf>
      <numFmt numFmtId="164" formatCode="[&gt;=1000000]\₦\ #,##0.00,,&quot;M&quot;;[&gt;=1000]\₦\ #.00,&quot;K&quot;;\₦\ ###.00"/>
    </dxf>
    <dxf>
      <numFmt numFmtId="164" formatCode="[&gt;=1000000]\₦\ #,##0.00,,&quot;M&quot;;[&gt;=1000]\₦\ #.00,&quot;K&quot;;\₦\ ###.00"/>
    </dxf>
    <dxf>
      <numFmt numFmtId="164" formatCode="[&gt;=1000000]\₦\ #,##0.00,,&quot;M&quot;;[&gt;=1000]\₦\ #.00,&quot;K&quot;;\₦\ ###.00"/>
    </dxf>
    <dxf>
      <fill>
        <patternFill>
          <bgColor rgb="FFE9B48A"/>
        </patternFill>
      </fill>
      <border diagonalUp="0" diagonalDown="0">
        <left/>
        <right/>
        <top/>
        <bottom/>
        <vertical/>
        <horizontal/>
      </border>
    </dxf>
  </dxfs>
  <tableStyles count="1" defaultTableStyle="TableStyleMedium2" defaultPivotStyle="PivotStyleLight16">
    <tableStyle name="Slicer Style 1" pivot="0" table="0" count="5" xr9:uid="{F27145E4-A4F3-4C2E-9820-8D65AA9904DD}">
      <tableStyleElement type="wholeTable" dxfId="9"/>
    </tableStyle>
  </tableStyles>
  <colors>
    <mruColors>
      <color rgb="FF2A1713"/>
      <color rgb="FFE9B48A"/>
      <color rgb="FF5C352C"/>
      <color rgb="FF956959"/>
    </mruColors>
  </colors>
  <extLst>
    <ext xmlns:x14="http://schemas.microsoft.com/office/spreadsheetml/2009/9/main" uri="{46F421CA-312F-682f-3DD2-61675219B42D}">
      <x14:dxfs count="4">
        <dxf>
          <font>
            <color rgb="FFE9B48A"/>
          </font>
          <fill>
            <patternFill>
              <bgColor rgb="FF5C352C"/>
            </patternFill>
          </fill>
          <border diagonalUp="0" diagonalDown="0">
            <left/>
            <right/>
            <top/>
            <bottom/>
            <vertical/>
            <horizontal/>
          </border>
        </dxf>
        <dxf>
          <font>
            <color rgb="FF2A1713"/>
          </font>
          <fill>
            <patternFill>
              <bgColor rgb="FF956959"/>
            </patternFill>
          </fill>
          <border diagonalUp="0" diagonalDown="0">
            <left/>
            <right/>
            <top/>
            <bottom/>
            <vertical/>
            <horizontal/>
          </border>
        </dxf>
        <dxf>
          <font>
            <color rgb="FFE9B48A"/>
          </font>
          <fill>
            <patternFill>
              <bgColor rgb="FF5C352C"/>
            </patternFill>
          </fill>
          <border diagonalUp="0" diagonalDown="0">
            <left/>
            <right/>
            <top/>
            <bottom/>
            <vertical/>
            <horizontal/>
          </border>
        </dxf>
        <dxf>
          <font>
            <color rgb="FF2A1713"/>
          </font>
          <fill>
            <patternFill>
              <bgColor rgb="FFE9B48A"/>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10" Type="http://schemas.openxmlformats.org/officeDocument/2006/relationships/pivotCacheDefinition" Target="pivotCache/pivotCacheDefinition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[MargAnalytics.xlsx]PivotTables!PivotTable2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C35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PivotTables!$C$7</c:f>
              <c:strCache>
                <c:ptCount val="1"/>
                <c:pt idx="0">
                  <c:v>Total</c:v>
                </c:pt>
              </c:strCache>
            </c:strRef>
          </c:tx>
          <c:spPr>
            <a:ln w="28575" cap="rnd">
              <a:solidFill>
                <a:srgbClr val="5C352C"/>
              </a:solidFill>
              <a:round/>
            </a:ln>
            <a:effectLst/>
          </c:spPr>
          <c:marker>
            <c:symbol val="none"/>
          </c:marker>
          <c:cat>
            <c:strRef>
              <c:f>PivotTables!$B$8:$B$20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PivotTables!$C$8:$C$20</c:f>
              <c:numCache>
                <c:formatCode>[&gt;=1000000]\₦\ #,##0.00,,"M";[&gt;=1000]\₦\ #.00,"K";\₦\ ###.00</c:formatCode>
                <c:ptCount val="12"/>
                <c:pt idx="0">
                  <c:v>168680.6281</c:v>
                </c:pt>
                <c:pt idx="1">
                  <c:v>173605.24770000004</c:v>
                </c:pt>
                <c:pt idx="2">
                  <c:v>236738.69750000007</c:v>
                </c:pt>
                <c:pt idx="3">
                  <c:v>241034.34019999992</c:v>
                </c:pt>
                <c:pt idx="4">
                  <c:v>153642.42720000001</c:v>
                </c:pt>
                <c:pt idx="5">
                  <c:v>258658.95200000005</c:v>
                </c:pt>
                <c:pt idx="6">
                  <c:v>150713.13980000003</c:v>
                </c:pt>
                <c:pt idx="7">
                  <c:v>185321.62100000004</c:v>
                </c:pt>
                <c:pt idx="8">
                  <c:v>233080.36130000002</c:v>
                </c:pt>
                <c:pt idx="9">
                  <c:v>189721.56949999995</c:v>
                </c:pt>
                <c:pt idx="10">
                  <c:v>274368.30580000003</c:v>
                </c:pt>
                <c:pt idx="11">
                  <c:v>186519.01120000007</c:v>
                </c:pt>
              </c:numCache>
            </c:numRef>
          </c:val>
          <c:smooth val="0"/>
          <c:extLst>
            <c:ext xmlns:c16="http://schemas.microsoft.com/office/drawing/2014/chart" uri="{C3380CC4-5D6E-409C-BE32-E72D297353CC}">
              <c16:uniqueId val="{00000000-8B03-44B4-ACC2-76DEBFC02FF7}"/>
            </c:ext>
          </c:extLst>
        </c:ser>
        <c:dLbls>
          <c:showLegendKey val="0"/>
          <c:showVal val="0"/>
          <c:showCatName val="0"/>
          <c:showSerName val="0"/>
          <c:showPercent val="0"/>
          <c:showBubbleSize val="0"/>
        </c:dLbls>
        <c:smooth val="0"/>
        <c:axId val="354460543"/>
        <c:axId val="354468703"/>
      </c:lineChart>
      <c:catAx>
        <c:axId val="3544605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2A1713"/>
                </a:solidFill>
                <a:latin typeface="Franklin Gothic Medium" panose="020B0603020102020204" pitchFamily="34" charset="0"/>
                <a:ea typeface="+mn-ea"/>
                <a:cs typeface="+mn-cs"/>
              </a:defRPr>
            </a:pPr>
            <a:endParaRPr lang="en-US"/>
          </a:p>
        </c:txPr>
        <c:crossAx val="354468703"/>
        <c:crosses val="autoZero"/>
        <c:auto val="1"/>
        <c:lblAlgn val="ctr"/>
        <c:lblOffset val="100"/>
        <c:noMultiLvlLbl val="0"/>
      </c:catAx>
      <c:valAx>
        <c:axId val="354468703"/>
        <c:scaling>
          <c:orientation val="minMax"/>
        </c:scaling>
        <c:delete val="0"/>
        <c:axPos val="l"/>
        <c:majorGridlines>
          <c:spPr>
            <a:ln w="9525" cap="flat" cmpd="sng" algn="ctr">
              <a:solidFill>
                <a:srgbClr val="956959">
                  <a:alpha val="21000"/>
                </a:srgbClr>
              </a:solidFill>
              <a:round/>
            </a:ln>
            <a:effectLst/>
          </c:spPr>
        </c:majorGridlines>
        <c:numFmt formatCode="[&gt;=1000000]\₦\ #,##0.00,,&quot;M&quot;;[&gt;=1000]\₦\ #.00,&quot;K&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56959"/>
                </a:solidFill>
                <a:latin typeface="+mn-lt"/>
                <a:ea typeface="+mn-ea"/>
                <a:cs typeface="+mn-cs"/>
              </a:defRPr>
            </a:pPr>
            <a:endParaRPr lang="en-US"/>
          </a:p>
        </c:txPr>
        <c:crossAx val="35446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[MargAnalytics.xlsx]PivotTables!PivotTable4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352C"/>
          </a:solidFill>
          <a:ln w="69850">
            <a:solidFill>
              <a:srgbClr val="5C352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9B48A"/>
                  </a:solidFill>
                  <a:latin typeface="Franklin Gothic Medium" panose="020B0603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569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56959"/>
          </a:solidFill>
          <a:ln>
            <a:noFill/>
          </a:ln>
          <a:effectLst/>
        </c:spPr>
      </c:pivotFmt>
    </c:pivotFmts>
    <c:plotArea>
      <c:layout/>
      <c:barChart>
        <c:barDir val="col"/>
        <c:grouping val="percentStacked"/>
        <c:varyColors val="0"/>
        <c:ser>
          <c:idx val="0"/>
          <c:order val="0"/>
          <c:tx>
            <c:strRef>
              <c:f>PivotTables!$I$3</c:f>
              <c:strCache>
                <c:ptCount val="1"/>
                <c:pt idx="0">
                  <c:v>Total Revenue</c:v>
                </c:pt>
              </c:strCache>
            </c:strRef>
          </c:tx>
          <c:spPr>
            <a:solidFill>
              <a:srgbClr val="5C352C"/>
            </a:solidFill>
            <a:ln w="69850">
              <a:solidFill>
                <a:srgbClr val="5C352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9B48A"/>
                    </a:solidFill>
                    <a:latin typeface="Franklin Gothic Medium" panose="020B0603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PivotTables!$H$4:$H$10</c:f>
              <c:strCache>
                <c:ptCount val="6"/>
                <c:pt idx="0">
                  <c:v>Accessories</c:v>
                </c:pt>
                <c:pt idx="1">
                  <c:v>Computers</c:v>
                </c:pt>
                <c:pt idx="2">
                  <c:v>Monitors</c:v>
                </c:pt>
                <c:pt idx="3">
                  <c:v>Networking</c:v>
                </c:pt>
                <c:pt idx="4">
                  <c:v>Office Supplies</c:v>
                </c:pt>
                <c:pt idx="5">
                  <c:v>Storage</c:v>
                </c:pt>
              </c:strCache>
            </c:strRef>
          </c:cat>
          <c:val>
            <c:numRef>
              <c:f>PivotTables!$I$4:$I$10</c:f>
              <c:numCache>
                <c:formatCode>[&gt;=1000000]\₦\ #,##0.00,,"M";[&gt;=1000]\₦\ #.00,"K";\₦\ ###.00</c:formatCode>
                <c:ptCount val="6"/>
                <c:pt idx="0">
                  <c:v>72895.258100000006</c:v>
                </c:pt>
                <c:pt idx="1">
                  <c:v>1346491.26</c:v>
                </c:pt>
                <c:pt idx="2">
                  <c:v>526744.58999999985</c:v>
                </c:pt>
                <c:pt idx="3">
                  <c:v>259475.30900000001</c:v>
                </c:pt>
                <c:pt idx="4">
                  <c:v>16640.258200000011</c:v>
                </c:pt>
                <c:pt idx="5">
                  <c:v>229837.62599999999</c:v>
                </c:pt>
              </c:numCache>
            </c:numRef>
          </c:val>
          <c:extLst>
            <c:ext xmlns:c16="http://schemas.microsoft.com/office/drawing/2014/chart" uri="{C3380CC4-5D6E-409C-BE32-E72D297353CC}">
              <c16:uniqueId val="{00000000-6B50-45B3-A89E-CB018C7183BF}"/>
            </c:ext>
          </c:extLst>
        </c:ser>
        <c:ser>
          <c:idx val="1"/>
          <c:order val="1"/>
          <c:tx>
            <c:strRef>
              <c:f>PivotTables!$J$3</c:f>
              <c:strCache>
                <c:ptCount val="1"/>
                <c:pt idx="0">
                  <c:v>Total Orders</c:v>
                </c:pt>
              </c:strCache>
            </c:strRef>
          </c:tx>
          <c:spPr>
            <a:solidFill>
              <a:srgbClr val="956959"/>
            </a:solidFill>
            <a:ln>
              <a:noFill/>
            </a:ln>
            <a:effectLst/>
          </c:spPr>
          <c:invertIfNegative val="0"/>
          <c:dLbls>
            <c:delete val="1"/>
          </c:dLbls>
          <c:cat>
            <c:strRef>
              <c:f>PivotTables!$H$4:$H$10</c:f>
              <c:strCache>
                <c:ptCount val="6"/>
                <c:pt idx="0">
                  <c:v>Accessories</c:v>
                </c:pt>
                <c:pt idx="1">
                  <c:v>Computers</c:v>
                </c:pt>
                <c:pt idx="2">
                  <c:v>Monitors</c:v>
                </c:pt>
                <c:pt idx="3">
                  <c:v>Networking</c:v>
                </c:pt>
                <c:pt idx="4">
                  <c:v>Office Supplies</c:v>
                </c:pt>
                <c:pt idx="5">
                  <c:v>Storage</c:v>
                </c:pt>
              </c:strCache>
            </c:strRef>
          </c:cat>
          <c:val>
            <c:numRef>
              <c:f>PivotTables!$J$4:$J$10</c:f>
              <c:numCache>
                <c:formatCode>0</c:formatCode>
                <c:ptCount val="6"/>
                <c:pt idx="0">
                  <c:v>503</c:v>
                </c:pt>
                <c:pt idx="1">
                  <c:v>338</c:v>
                </c:pt>
                <c:pt idx="2">
                  <c:v>353</c:v>
                </c:pt>
                <c:pt idx="3">
                  <c:v>231</c:v>
                </c:pt>
                <c:pt idx="4">
                  <c:v>246</c:v>
                </c:pt>
                <c:pt idx="5">
                  <c:v>329</c:v>
                </c:pt>
              </c:numCache>
            </c:numRef>
          </c:val>
          <c:extLst>
            <c:ext xmlns:c16="http://schemas.microsoft.com/office/drawing/2014/chart" uri="{C3380CC4-5D6E-409C-BE32-E72D297353CC}">
              <c16:uniqueId val="{00000001-6B50-45B3-A89E-CB018C7183BF}"/>
            </c:ext>
          </c:extLst>
        </c:ser>
        <c:dLbls>
          <c:dLblPos val="inEnd"/>
          <c:showLegendKey val="0"/>
          <c:showVal val="1"/>
          <c:showCatName val="0"/>
          <c:showSerName val="0"/>
          <c:showPercent val="0"/>
          <c:showBubbleSize val="0"/>
        </c:dLbls>
        <c:gapWidth val="65"/>
        <c:overlap val="100"/>
        <c:axId val="360200463"/>
        <c:axId val="360213903"/>
      </c:barChart>
      <c:catAx>
        <c:axId val="3602004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2A1713"/>
                </a:solidFill>
                <a:latin typeface="Franklin Gothic Medium" panose="020B0603020102020204" pitchFamily="34" charset="0"/>
                <a:ea typeface="+mn-ea"/>
                <a:cs typeface="+mn-cs"/>
              </a:defRPr>
            </a:pPr>
            <a:endParaRPr lang="en-US"/>
          </a:p>
        </c:txPr>
        <c:crossAx val="360213903"/>
        <c:crossesAt val="0"/>
        <c:auto val="1"/>
        <c:lblAlgn val="ctr"/>
        <c:lblOffset val="100"/>
        <c:noMultiLvlLbl val="0"/>
      </c:catAx>
      <c:valAx>
        <c:axId val="360213903"/>
        <c:scaling>
          <c:orientation val="minMax"/>
        </c:scaling>
        <c:delete val="1"/>
        <c:axPos val="l"/>
        <c:numFmt formatCode="0%" sourceLinked="1"/>
        <c:majorTickMark val="out"/>
        <c:minorTickMark val="none"/>
        <c:tickLblPos val="nextTo"/>
        <c:crossAx val="36020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[MargAnalytics.xlsx]PivotTables!PivotTable6</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5C352C"/>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E9B48A"/>
                  </a:solidFill>
                  <a:latin typeface="Franklin Gothic Medium" panose="020B0603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PivotTables!$I$14</c:f>
              <c:strCache>
                <c:ptCount val="1"/>
                <c:pt idx="0">
                  <c:v>Total</c:v>
                </c:pt>
              </c:strCache>
            </c:strRef>
          </c:tx>
          <c:spPr>
            <a:solidFill>
              <a:srgbClr val="5C352C"/>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rgbClr val="E9B48A"/>
                    </a:solidFill>
                    <a:latin typeface="Franklin Gothic Medium" panose="020B0603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PivotTables!$H$15:$H$20</c:f>
              <c:strCache>
                <c:ptCount val="5"/>
                <c:pt idx="0">
                  <c:v>Ultrawide Monitor</c:v>
                </c:pt>
                <c:pt idx="1">
                  <c:v>All-in-One PC</c:v>
                </c:pt>
                <c:pt idx="2">
                  <c:v>Laptop Pro 14</c:v>
                </c:pt>
                <c:pt idx="3">
                  <c:v>Laptop Air 13</c:v>
                </c:pt>
                <c:pt idx="4">
                  <c:v>Gaming Laptop</c:v>
                </c:pt>
              </c:strCache>
            </c:strRef>
          </c:cat>
          <c:val>
            <c:numRef>
              <c:f>PivotTables!$I$15:$I$20</c:f>
              <c:numCache>
                <c:formatCode>[&gt;=1000000]\₦\ #,##0.00,,"M";[&gt;=1000]\₦\ #.00,"K";\₦\ ###.00</c:formatCode>
                <c:ptCount val="5"/>
                <c:pt idx="0">
                  <c:v>190959.44999999995</c:v>
                </c:pt>
                <c:pt idx="1">
                  <c:v>254994</c:v>
                </c:pt>
                <c:pt idx="2">
                  <c:v>263486.40000000002</c:v>
                </c:pt>
                <c:pt idx="3">
                  <c:v>273532.5</c:v>
                </c:pt>
                <c:pt idx="4">
                  <c:v>432576.06</c:v>
                </c:pt>
              </c:numCache>
            </c:numRef>
          </c:val>
          <c:extLst>
            <c:ext xmlns:c16="http://schemas.microsoft.com/office/drawing/2014/chart" uri="{C3380CC4-5D6E-409C-BE32-E72D297353CC}">
              <c16:uniqueId val="{00000000-6A26-420F-B57F-8A7DBBCC2F41}"/>
            </c:ext>
          </c:extLst>
        </c:ser>
        <c:dLbls>
          <c:showLegendKey val="0"/>
          <c:showVal val="1"/>
          <c:showCatName val="0"/>
          <c:showSerName val="0"/>
          <c:showPercent val="0"/>
          <c:showBubbleSize val="0"/>
        </c:dLbls>
        <c:gapWidth val="59"/>
        <c:axId val="2137135903"/>
        <c:axId val="2137136383"/>
      </c:barChart>
      <c:catAx>
        <c:axId val="21371359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Franklin Gothic Medium" panose="020B0603020102020204" pitchFamily="34" charset="0"/>
                <a:ea typeface="+mn-ea"/>
                <a:cs typeface="+mn-cs"/>
              </a:defRPr>
            </a:pPr>
            <a:endParaRPr lang="en-US"/>
          </a:p>
        </c:txPr>
        <c:crossAx val="2137136383"/>
        <c:crosses val="autoZero"/>
        <c:auto val="1"/>
        <c:lblAlgn val="ctr"/>
        <c:lblOffset val="100"/>
        <c:noMultiLvlLbl val="0"/>
      </c:catAx>
      <c:valAx>
        <c:axId val="2137136383"/>
        <c:scaling>
          <c:orientation val="minMax"/>
        </c:scaling>
        <c:delete val="1"/>
        <c:axPos val="b"/>
        <c:numFmt formatCode="[&gt;=1000000]\₦\ #,##0.00,,&quot;M&quot;;[&gt;=1000]\₦\ #.00,&quot;K&quot;;\₦\ ###.00" sourceLinked="1"/>
        <c:majorTickMark val="none"/>
        <c:minorTickMark val="none"/>
        <c:tickLblPos val="nextTo"/>
        <c:crossAx val="213713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[MargAnalytics.xlsx]PivotTables!PivotTable5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C352C"/>
          </a:solidFill>
          <a:ln w="50800">
            <a:solidFill>
              <a:srgbClr val="5C352C"/>
            </a:solidFill>
          </a:ln>
          <a:effectLst/>
        </c:spPr>
      </c:pivotFmt>
      <c:pivotFmt>
        <c:idx val="6"/>
        <c:spPr>
          <a:solidFill>
            <a:srgbClr val="956959"/>
          </a:solidFill>
          <a:ln w="19050">
            <a:noFill/>
          </a:ln>
          <a:effectLst/>
        </c:spPr>
      </c:pivotFmt>
    </c:pivotFmts>
    <c:plotArea>
      <c:layout/>
      <c:doughnutChart>
        <c:varyColors val="1"/>
        <c:ser>
          <c:idx val="0"/>
          <c:order val="0"/>
          <c:tx>
            <c:strRef>
              <c:f>PivotTables!$F$16</c:f>
              <c:strCache>
                <c:ptCount val="1"/>
                <c:pt idx="0">
                  <c:v>Total</c:v>
                </c:pt>
              </c:strCache>
            </c:strRef>
          </c:tx>
          <c:spPr>
            <a:ln>
              <a:noFill/>
            </a:ln>
          </c:spPr>
          <c:dPt>
            <c:idx val="0"/>
            <c:bubble3D val="0"/>
            <c:spPr>
              <a:solidFill>
                <a:srgbClr val="5C352C"/>
              </a:solidFill>
              <a:ln w="50800">
                <a:solidFill>
                  <a:srgbClr val="5C352C"/>
                </a:solidFill>
              </a:ln>
              <a:effectLst/>
            </c:spPr>
            <c:extLst>
              <c:ext xmlns:c16="http://schemas.microsoft.com/office/drawing/2014/chart" uri="{C3380CC4-5D6E-409C-BE32-E72D297353CC}">
                <c16:uniqueId val="{00000001-9CAE-45BA-8A6C-B2C43D3B8A89}"/>
              </c:ext>
            </c:extLst>
          </c:dPt>
          <c:dPt>
            <c:idx val="1"/>
            <c:bubble3D val="0"/>
            <c:spPr>
              <a:solidFill>
                <a:srgbClr val="956959"/>
              </a:solidFill>
              <a:ln w="19050">
                <a:noFill/>
              </a:ln>
              <a:effectLst/>
            </c:spPr>
            <c:extLst>
              <c:ext xmlns:c16="http://schemas.microsoft.com/office/drawing/2014/chart" uri="{C3380CC4-5D6E-409C-BE32-E72D297353CC}">
                <c16:uniqueId val="{00000003-9CAE-45BA-8A6C-B2C43D3B8A89}"/>
              </c:ext>
            </c:extLst>
          </c:dPt>
          <c:cat>
            <c:strRef>
              <c:f>PivotTables!$E$17:$E$19</c:f>
              <c:strCache>
                <c:ptCount val="2"/>
                <c:pt idx="0">
                  <c:v>Returning</c:v>
                </c:pt>
                <c:pt idx="1">
                  <c:v>New</c:v>
                </c:pt>
              </c:strCache>
            </c:strRef>
          </c:cat>
          <c:val>
            <c:numRef>
              <c:f>PivotTables!$F$17:$F$19</c:f>
              <c:numCache>
                <c:formatCode>[&gt;=1000000]\₦\ #,##0.00,,"M";[&gt;=1000]\₦\ #.00,"K";\₦\ ###.00</c:formatCode>
                <c:ptCount val="2"/>
                <c:pt idx="0">
                  <c:v>1683325.3036999993</c:v>
                </c:pt>
                <c:pt idx="1">
                  <c:v>768758.99759999989</c:v>
                </c:pt>
              </c:numCache>
            </c:numRef>
          </c:val>
          <c:extLst>
            <c:ext xmlns:c16="http://schemas.microsoft.com/office/drawing/2014/chart" uri="{C3380CC4-5D6E-409C-BE32-E72D297353CC}">
              <c16:uniqueId val="{00000004-9CAE-45BA-8A6C-B2C43D3B8A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5C352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11588</xdr:rowOff>
    </xdr:from>
    <xdr:to>
      <xdr:col>20</xdr:col>
      <xdr:colOff>130302</xdr:colOff>
      <xdr:row>36</xdr:row>
      <xdr:rowOff>11588</xdr:rowOff>
    </xdr:to>
    <xdr:sp macro="" textlink="">
      <xdr:nvSpPr>
        <xdr:cNvPr id="2" name="Rectangle: Rounded Corners 1">
          <a:extLst>
            <a:ext uri="{FF2B5EF4-FFF2-40B4-BE49-F238E27FC236}">
              <a16:creationId xmlns:a16="http://schemas.microsoft.com/office/drawing/2014/main" id="{9C6FD894-14F0-DDBD-F635-1F85856B5A1D}"/>
            </a:ext>
          </a:extLst>
        </xdr:cNvPr>
        <xdr:cNvSpPr/>
      </xdr:nvSpPr>
      <xdr:spPr>
        <a:xfrm>
          <a:off x="133350" y="11588"/>
          <a:ext cx="12255213" cy="6858000"/>
        </a:xfrm>
        <a:prstGeom prst="roundRect">
          <a:avLst>
            <a:gd name="adj" fmla="val 3334"/>
          </a:avLst>
        </a:prstGeom>
        <a:solidFill>
          <a:srgbClr val="E9B4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554182</xdr:colOff>
      <xdr:row>1</xdr:row>
      <xdr:rowOff>32534</xdr:rowOff>
    </xdr:from>
    <xdr:to>
      <xdr:col>9</xdr:col>
      <xdr:colOff>435428</xdr:colOff>
      <xdr:row>4</xdr:row>
      <xdr:rowOff>119125</xdr:rowOff>
    </xdr:to>
    <xdr:sp macro="" textlink="">
      <xdr:nvSpPr>
        <xdr:cNvPr id="3" name="TextBox 2">
          <a:extLst>
            <a:ext uri="{FF2B5EF4-FFF2-40B4-BE49-F238E27FC236}">
              <a16:creationId xmlns:a16="http://schemas.microsoft.com/office/drawing/2014/main" id="{BEE52939-49E9-1210-81BD-33524453EB82}"/>
            </a:ext>
          </a:extLst>
        </xdr:cNvPr>
        <xdr:cNvSpPr txBox="1"/>
      </xdr:nvSpPr>
      <xdr:spPr>
        <a:xfrm>
          <a:off x="554182" y="223034"/>
          <a:ext cx="5392139" cy="658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4500">
              <a:solidFill>
                <a:srgbClr val="2A1713"/>
              </a:solidFill>
              <a:latin typeface="Franklin Gothic Medium" panose="020B0603020102020204" pitchFamily="34" charset="0"/>
            </a:rPr>
            <a:t>Marg Analytics 2026</a:t>
          </a:r>
        </a:p>
      </xdr:txBody>
    </xdr:sp>
    <xdr:clientData/>
  </xdr:twoCellAnchor>
  <xdr:twoCellAnchor>
    <xdr:from>
      <xdr:col>6</xdr:col>
      <xdr:colOff>546900</xdr:colOff>
      <xdr:row>6</xdr:row>
      <xdr:rowOff>123482</xdr:rowOff>
    </xdr:from>
    <xdr:to>
      <xdr:col>9</xdr:col>
      <xdr:colOff>583267</xdr:colOff>
      <xdr:row>11</xdr:row>
      <xdr:rowOff>25635</xdr:rowOff>
    </xdr:to>
    <xdr:sp macro="" textlink="PivotTables!C4">
      <xdr:nvSpPr>
        <xdr:cNvPr id="6" name="TextBox 5">
          <a:extLst>
            <a:ext uri="{FF2B5EF4-FFF2-40B4-BE49-F238E27FC236}">
              <a16:creationId xmlns:a16="http://schemas.microsoft.com/office/drawing/2014/main" id="{BD799410-AB5C-F6E4-43AC-E1B394D75A96}"/>
            </a:ext>
          </a:extLst>
        </xdr:cNvPr>
        <xdr:cNvSpPr txBox="1"/>
      </xdr:nvSpPr>
      <xdr:spPr>
        <a:xfrm>
          <a:off x="4177606" y="1266482"/>
          <a:ext cx="1851720" cy="854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9B87742-4AA8-49F8-9AC4-AB6682909181}" type="TxLink">
            <a:rPr lang="en-US" sz="3200" b="1" i="0" u="none" strike="noStrike">
              <a:solidFill>
                <a:srgbClr val="000000"/>
              </a:solidFill>
              <a:latin typeface="Franklin Gothic Book" panose="020B0503020102020204" pitchFamily="34" charset="0"/>
            </a:rPr>
            <a:pPr algn="l"/>
            <a:t>2,000</a:t>
          </a:fld>
          <a:endParaRPr lang="en-US" sz="3200" b="1">
            <a:solidFill>
              <a:srgbClr val="2A1713"/>
            </a:solidFill>
            <a:latin typeface="Franklin Gothic Book" panose="020B0503020102020204" pitchFamily="34" charset="0"/>
          </a:endParaRPr>
        </a:p>
      </xdr:txBody>
    </xdr:sp>
    <xdr:clientData/>
  </xdr:twoCellAnchor>
  <xdr:twoCellAnchor>
    <xdr:from>
      <xdr:col>6</xdr:col>
      <xdr:colOff>546900</xdr:colOff>
      <xdr:row>11</xdr:row>
      <xdr:rowOff>104012</xdr:rowOff>
    </xdr:from>
    <xdr:to>
      <xdr:col>9</xdr:col>
      <xdr:colOff>583267</xdr:colOff>
      <xdr:row>16</xdr:row>
      <xdr:rowOff>6165</xdr:rowOff>
    </xdr:to>
    <xdr:sp macro="" textlink="PivotTables!D4">
      <xdr:nvSpPr>
        <xdr:cNvPr id="7" name="TextBox 6">
          <a:extLst>
            <a:ext uri="{FF2B5EF4-FFF2-40B4-BE49-F238E27FC236}">
              <a16:creationId xmlns:a16="http://schemas.microsoft.com/office/drawing/2014/main" id="{78483D47-714F-EFE2-C930-F437A89C0E45}"/>
            </a:ext>
          </a:extLst>
        </xdr:cNvPr>
        <xdr:cNvSpPr txBox="1"/>
      </xdr:nvSpPr>
      <xdr:spPr>
        <a:xfrm>
          <a:off x="4177606" y="2199512"/>
          <a:ext cx="1851720" cy="854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7E7813F-2162-4B76-B61A-FFEABE84FE94}" type="TxLink">
            <a:rPr lang="en-US" sz="3200" b="1" i="0" u="none" strike="noStrike">
              <a:solidFill>
                <a:srgbClr val="000000"/>
              </a:solidFill>
              <a:latin typeface="Franklin Gothic Book" panose="020B0503020102020204" pitchFamily="34" charset="0"/>
            </a:rPr>
            <a:pPr algn="l"/>
            <a:t>5,552</a:t>
          </a:fld>
          <a:endParaRPr lang="en-US" sz="3200" b="1">
            <a:solidFill>
              <a:srgbClr val="2A1713"/>
            </a:solidFill>
            <a:latin typeface="Franklin Gothic Book" panose="020B0503020102020204" pitchFamily="34" charset="0"/>
          </a:endParaRPr>
        </a:p>
      </xdr:txBody>
    </xdr:sp>
    <xdr:clientData/>
  </xdr:twoCellAnchor>
  <xdr:twoCellAnchor>
    <xdr:from>
      <xdr:col>6</xdr:col>
      <xdr:colOff>546900</xdr:colOff>
      <xdr:row>16</xdr:row>
      <xdr:rowOff>67976</xdr:rowOff>
    </xdr:from>
    <xdr:to>
      <xdr:col>9</xdr:col>
      <xdr:colOff>583267</xdr:colOff>
      <xdr:row>20</xdr:row>
      <xdr:rowOff>160629</xdr:rowOff>
    </xdr:to>
    <xdr:sp macro="" textlink="PivotTables!E4">
      <xdr:nvSpPr>
        <xdr:cNvPr id="8" name="TextBox 7">
          <a:extLst>
            <a:ext uri="{FF2B5EF4-FFF2-40B4-BE49-F238E27FC236}">
              <a16:creationId xmlns:a16="http://schemas.microsoft.com/office/drawing/2014/main" id="{7DD36448-6D57-EABE-8355-46DCE9D47757}"/>
            </a:ext>
          </a:extLst>
        </xdr:cNvPr>
        <xdr:cNvSpPr txBox="1"/>
      </xdr:nvSpPr>
      <xdr:spPr>
        <a:xfrm>
          <a:off x="4177606" y="3115976"/>
          <a:ext cx="1851720" cy="854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E7C544A-D6C4-4FC1-9D3B-F506B7C630B5}" type="TxLink">
            <a:rPr lang="en-US" sz="3200" b="1" i="0" u="none" strike="noStrike">
              <a:solidFill>
                <a:srgbClr val="000000"/>
              </a:solidFill>
              <a:latin typeface="Franklin Gothic Book" panose="020B0503020102020204" pitchFamily="34" charset="0"/>
            </a:rPr>
            <a:pPr algn="l"/>
            <a:t>₦ 1.23K</a:t>
          </a:fld>
          <a:endParaRPr lang="en-US" sz="3200" b="1">
            <a:solidFill>
              <a:srgbClr val="2A1713"/>
            </a:solidFill>
            <a:latin typeface="Franklin Gothic Book" panose="020B0503020102020204" pitchFamily="34" charset="0"/>
          </a:endParaRPr>
        </a:p>
      </xdr:txBody>
    </xdr:sp>
    <xdr:clientData/>
  </xdr:twoCellAnchor>
  <xdr:twoCellAnchor>
    <xdr:from>
      <xdr:col>6</xdr:col>
      <xdr:colOff>546899</xdr:colOff>
      <xdr:row>6</xdr:row>
      <xdr:rowOff>73259</xdr:rowOff>
    </xdr:from>
    <xdr:to>
      <xdr:col>9</xdr:col>
      <xdr:colOff>240366</xdr:colOff>
      <xdr:row>7</xdr:row>
      <xdr:rowOff>139934</xdr:rowOff>
    </xdr:to>
    <xdr:sp macro="" textlink="PivotTables!C3">
      <xdr:nvSpPr>
        <xdr:cNvPr id="9" name="TextBox 8">
          <a:extLst>
            <a:ext uri="{FF2B5EF4-FFF2-40B4-BE49-F238E27FC236}">
              <a16:creationId xmlns:a16="http://schemas.microsoft.com/office/drawing/2014/main" id="{A20A88CE-882A-B2E2-F430-16D419CFBE44}"/>
            </a:ext>
          </a:extLst>
        </xdr:cNvPr>
        <xdr:cNvSpPr txBox="1"/>
      </xdr:nvSpPr>
      <xdr:spPr>
        <a:xfrm>
          <a:off x="4177605" y="1216259"/>
          <a:ext cx="150882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EBB33C6-EADA-4239-9BA5-3FFB9DD46E01}" type="TxLink">
            <a:rPr lang="en-US" sz="1200" b="0" i="0" u="none" strike="noStrike">
              <a:solidFill>
                <a:srgbClr val="000000"/>
              </a:solidFill>
              <a:latin typeface="Franklin Gothic Medium" panose="020B0603020102020204" pitchFamily="34" charset="0"/>
            </a:rPr>
            <a:pPr/>
            <a:t>Total Orders</a:t>
          </a:fld>
          <a:endParaRPr lang="en-US" sz="1200">
            <a:latin typeface="Franklin Gothic Medium" panose="020B0603020102020204" pitchFamily="34" charset="0"/>
          </a:endParaRPr>
        </a:p>
      </xdr:txBody>
    </xdr:sp>
    <xdr:clientData/>
  </xdr:twoCellAnchor>
  <xdr:twoCellAnchor>
    <xdr:from>
      <xdr:col>6</xdr:col>
      <xdr:colOff>546899</xdr:colOff>
      <xdr:row>11</xdr:row>
      <xdr:rowOff>6164</xdr:rowOff>
    </xdr:from>
    <xdr:to>
      <xdr:col>9</xdr:col>
      <xdr:colOff>240366</xdr:colOff>
      <xdr:row>12</xdr:row>
      <xdr:rowOff>72839</xdr:rowOff>
    </xdr:to>
    <xdr:sp macro="" textlink="PivotTables!D3">
      <xdr:nvSpPr>
        <xdr:cNvPr id="10" name="TextBox 9">
          <a:extLst>
            <a:ext uri="{FF2B5EF4-FFF2-40B4-BE49-F238E27FC236}">
              <a16:creationId xmlns:a16="http://schemas.microsoft.com/office/drawing/2014/main" id="{00B86752-4F99-5CCA-EF10-B2BE0AD678B0}"/>
            </a:ext>
          </a:extLst>
        </xdr:cNvPr>
        <xdr:cNvSpPr txBox="1"/>
      </xdr:nvSpPr>
      <xdr:spPr>
        <a:xfrm>
          <a:off x="4177605" y="2101664"/>
          <a:ext cx="150882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52E1551-E2D9-487E-9763-54CCD7D291B2}" type="TxLink">
            <a:rPr lang="en-US" sz="1200" b="0" i="0" u="none" strike="noStrike">
              <a:solidFill>
                <a:srgbClr val="000000"/>
              </a:solidFill>
              <a:latin typeface="Franklin Gothic Medium" panose="020B0603020102020204" pitchFamily="34" charset="0"/>
            </a:rPr>
            <a:pPr/>
            <a:t>Total Quantity Sold</a:t>
          </a:fld>
          <a:endParaRPr lang="en-US" sz="1200">
            <a:latin typeface="Franklin Gothic Medium" panose="020B0603020102020204" pitchFamily="34" charset="0"/>
          </a:endParaRPr>
        </a:p>
      </xdr:txBody>
    </xdr:sp>
    <xdr:clientData/>
  </xdr:twoCellAnchor>
  <xdr:twoCellAnchor>
    <xdr:from>
      <xdr:col>6</xdr:col>
      <xdr:colOff>546899</xdr:colOff>
      <xdr:row>15</xdr:row>
      <xdr:rowOff>189203</xdr:rowOff>
    </xdr:from>
    <xdr:to>
      <xdr:col>9</xdr:col>
      <xdr:colOff>240366</xdr:colOff>
      <xdr:row>17</xdr:row>
      <xdr:rowOff>65378</xdr:rowOff>
    </xdr:to>
    <xdr:sp macro="" textlink="PivotTables!E3">
      <xdr:nvSpPr>
        <xdr:cNvPr id="11" name="TextBox 10">
          <a:extLst>
            <a:ext uri="{FF2B5EF4-FFF2-40B4-BE49-F238E27FC236}">
              <a16:creationId xmlns:a16="http://schemas.microsoft.com/office/drawing/2014/main" id="{E2E918F6-375C-F324-B68D-75F2BF7EDD33}"/>
            </a:ext>
          </a:extLst>
        </xdr:cNvPr>
        <xdr:cNvSpPr txBox="1"/>
      </xdr:nvSpPr>
      <xdr:spPr>
        <a:xfrm>
          <a:off x="4177605" y="3046703"/>
          <a:ext cx="150882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40A9D8D-8BF5-4DFC-9AB7-F587C4E2D3DC}" type="TxLink">
            <a:rPr lang="en-US" sz="1200" b="0" i="0" u="none" strike="noStrike">
              <a:solidFill>
                <a:srgbClr val="000000"/>
              </a:solidFill>
              <a:latin typeface="Franklin Gothic Medium" panose="020B0603020102020204" pitchFamily="34" charset="0"/>
            </a:rPr>
            <a:pPr/>
            <a:t>Average Order Value</a:t>
          </a:fld>
          <a:endParaRPr lang="en-US" sz="1200">
            <a:latin typeface="Franklin Gothic Medium" panose="020B0603020102020204" pitchFamily="34" charset="0"/>
          </a:endParaRPr>
        </a:p>
      </xdr:txBody>
    </xdr:sp>
    <xdr:clientData/>
  </xdr:twoCellAnchor>
  <xdr:twoCellAnchor>
    <xdr:from>
      <xdr:col>0</xdr:col>
      <xdr:colOff>480732</xdr:colOff>
      <xdr:row>13</xdr:row>
      <xdr:rowOff>2150</xdr:rowOff>
    </xdr:from>
    <xdr:to>
      <xdr:col>3</xdr:col>
      <xdr:colOff>478516</xdr:colOff>
      <xdr:row>14</xdr:row>
      <xdr:rowOff>171297</xdr:rowOff>
    </xdr:to>
    <xdr:sp macro="" textlink="PivotTables!B3">
      <xdr:nvSpPr>
        <xdr:cNvPr id="12" name="TextBox 11">
          <a:extLst>
            <a:ext uri="{FF2B5EF4-FFF2-40B4-BE49-F238E27FC236}">
              <a16:creationId xmlns:a16="http://schemas.microsoft.com/office/drawing/2014/main" id="{B8BDA5FC-A7E8-D059-AE2E-825E5C1C5E0E}"/>
            </a:ext>
          </a:extLst>
        </xdr:cNvPr>
        <xdr:cNvSpPr txBox="1"/>
      </xdr:nvSpPr>
      <xdr:spPr>
        <a:xfrm>
          <a:off x="480732" y="2478650"/>
          <a:ext cx="1834748" cy="35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FAC600F-1CB9-418A-A059-7275D6F6A045}" type="TxLink">
            <a:rPr lang="en-US" sz="1200" b="0" i="0" u="none" strike="noStrike">
              <a:solidFill>
                <a:srgbClr val="000000"/>
              </a:solidFill>
              <a:latin typeface="Franklin Gothic Medium" panose="020B0603020102020204" pitchFamily="34" charset="0"/>
            </a:rPr>
            <a:pPr/>
            <a:t>Total Revenue</a:t>
          </a:fld>
          <a:endParaRPr lang="en-US" sz="1400">
            <a:latin typeface="Franklin Gothic Medium" panose="020B0603020102020204" pitchFamily="34" charset="0"/>
          </a:endParaRPr>
        </a:p>
      </xdr:txBody>
    </xdr:sp>
    <xdr:clientData/>
  </xdr:twoCellAnchor>
  <xdr:twoCellAnchor>
    <xdr:from>
      <xdr:col>10</xdr:col>
      <xdr:colOff>28575</xdr:colOff>
      <xdr:row>7</xdr:row>
      <xdr:rowOff>107675</xdr:rowOff>
    </xdr:from>
    <xdr:to>
      <xdr:col>19</xdr:col>
      <xdr:colOff>371475</xdr:colOff>
      <xdr:row>19</xdr:row>
      <xdr:rowOff>24849</xdr:rowOff>
    </xdr:to>
    <xdr:graphicFrame macro="">
      <xdr:nvGraphicFramePr>
        <xdr:cNvPr id="13" name="Chart 12">
          <a:extLst>
            <a:ext uri="{FF2B5EF4-FFF2-40B4-BE49-F238E27FC236}">
              <a16:creationId xmlns:a16="http://schemas.microsoft.com/office/drawing/2014/main" id="{375F70A5-B63D-4EC0-8841-B0FC0B1F8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480732</xdr:colOff>
      <xdr:row>22</xdr:row>
      <xdr:rowOff>0</xdr:rowOff>
    </xdr:from>
    <xdr:to>
      <xdr:col>7</xdr:col>
      <xdr:colOff>448234</xdr:colOff>
      <xdr:row>33</xdr:row>
      <xdr:rowOff>172212</xdr:rowOff>
    </xdr:to>
    <xdr:graphicFrame macro="">
      <xdr:nvGraphicFramePr>
        <xdr:cNvPr id="14" name="Chart 13">
          <a:extLst>
            <a:ext uri="{FF2B5EF4-FFF2-40B4-BE49-F238E27FC236}">
              <a16:creationId xmlns:a16="http://schemas.microsoft.com/office/drawing/2014/main" id="{F5582535-3BC6-4F49-8647-42D609D82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171449</xdr:colOff>
      <xdr:row>22</xdr:row>
      <xdr:rowOff>0</xdr:rowOff>
    </xdr:from>
    <xdr:to>
      <xdr:col>19</xdr:col>
      <xdr:colOff>340098</xdr:colOff>
      <xdr:row>33</xdr:row>
      <xdr:rowOff>169214</xdr:rowOff>
    </xdr:to>
    <xdr:graphicFrame macro="">
      <xdr:nvGraphicFramePr>
        <xdr:cNvPr id="15" name="Chart 14">
          <a:extLst>
            <a:ext uri="{FF2B5EF4-FFF2-40B4-BE49-F238E27FC236}">
              <a16:creationId xmlns:a16="http://schemas.microsoft.com/office/drawing/2014/main" id="{4B5C6829-BD11-4EEB-8929-73D7B059E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326573</xdr:colOff>
      <xdr:row>22</xdr:row>
      <xdr:rowOff>10406</xdr:rowOff>
    </xdr:from>
    <xdr:to>
      <xdr:col>11</xdr:col>
      <xdr:colOff>236112</xdr:colOff>
      <xdr:row>30</xdr:row>
      <xdr:rowOff>123182</xdr:rowOff>
    </xdr:to>
    <xdr:graphicFrame macro="">
      <xdr:nvGraphicFramePr>
        <xdr:cNvPr id="16" name="Chart 15">
          <a:extLst>
            <a:ext uri="{FF2B5EF4-FFF2-40B4-BE49-F238E27FC236}">
              <a16:creationId xmlns:a16="http://schemas.microsoft.com/office/drawing/2014/main" id="{E21064D8-68F0-41C3-AC2B-CCDE0BA76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568780</xdr:colOff>
      <xdr:row>31</xdr:row>
      <xdr:rowOff>2712</xdr:rowOff>
    </xdr:from>
    <xdr:to>
      <xdr:col>11</xdr:col>
      <xdr:colOff>76524</xdr:colOff>
      <xdr:row>34</xdr:row>
      <xdr:rowOff>76669</xdr:rowOff>
    </xdr:to>
    <xdr:sp macro="" textlink="">
      <xdr:nvSpPr>
        <xdr:cNvPr id="18" name="Text Placeholder 387">
          <a:extLst>
            <a:ext uri="{FF2B5EF4-FFF2-40B4-BE49-F238E27FC236}">
              <a16:creationId xmlns:a16="http://schemas.microsoft.com/office/drawing/2014/main" id="{5251AE2E-B42A-7465-3803-BF6DE7103B3B}"/>
            </a:ext>
          </a:extLst>
        </xdr:cNvPr>
        <xdr:cNvSpPr>
          <a:spLocks noGrp="1"/>
        </xdr:cNvSpPr>
      </xdr:nvSpPr>
      <xdr:spPr>
        <a:xfrm>
          <a:off x="5467351" y="5908212"/>
          <a:ext cx="1344709" cy="645457"/>
        </a:xfrm>
        <a:prstGeom prst="rect">
          <a:avLst/>
        </a:prstGeom>
        <a:noFill/>
      </xdr:spPr>
      <xdr:txBody>
        <a:bodyPr vert="horz" wrap="square" lIns="0" tIns="45720" rIns="0" bIns="45720" rtlCol="0" anchor="t">
          <a:noAutofit/>
        </a:bodyPr>
        <a:lstStyle>
          <a:lvl1pPr marL="0" indent="0" algn="ctr" defTabSz="914400" rtl="0" eaLnBrk="1" latinLnBrk="0" hangingPunct="1">
            <a:lnSpc>
              <a:spcPct val="90000"/>
            </a:lnSpc>
            <a:spcBef>
              <a:spcPts val="1000"/>
            </a:spcBef>
            <a:buFont typeface="Arial" panose="020B0604020202020204" pitchFamily="34" charset="0"/>
            <a:buNone/>
            <a:defRPr sz="1200" kern="1200">
              <a:solidFill>
                <a:schemeClr val="bg1"/>
              </a:solidFill>
              <a:latin typeface="+mj-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bg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bg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bg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bg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r>
            <a:rPr lang="en-US">
              <a:solidFill>
                <a:srgbClr val="2A1713"/>
              </a:solidFill>
            </a:rPr>
            <a:t>Returning Customers</a:t>
          </a:r>
          <a:r>
            <a:rPr lang="en-US" baseline="0">
              <a:solidFill>
                <a:srgbClr val="2A1713"/>
              </a:solidFill>
            </a:rPr>
            <a:t> generate more revenue</a:t>
          </a:r>
          <a:endParaRPr lang="en-US">
            <a:solidFill>
              <a:srgbClr val="2A1713"/>
            </a:solidFill>
          </a:endParaRPr>
        </a:p>
      </xdr:txBody>
    </xdr:sp>
    <xdr:clientData/>
  </xdr:twoCellAnchor>
  <xdr:twoCellAnchor>
    <xdr:from>
      <xdr:col>9</xdr:col>
      <xdr:colOff>107498</xdr:colOff>
      <xdr:row>25</xdr:row>
      <xdr:rowOff>19049</xdr:rowOff>
    </xdr:from>
    <xdr:to>
      <xdr:col>10</xdr:col>
      <xdr:colOff>440873</xdr:colOff>
      <xdr:row>27</xdr:row>
      <xdr:rowOff>28575</xdr:rowOff>
    </xdr:to>
    <xdr:sp macro="" textlink="PivotTables!$F$21">
      <xdr:nvSpPr>
        <xdr:cNvPr id="19" name="TextBox 18">
          <a:extLst>
            <a:ext uri="{FF2B5EF4-FFF2-40B4-BE49-F238E27FC236}">
              <a16:creationId xmlns:a16="http://schemas.microsoft.com/office/drawing/2014/main" id="{8E55C628-AEEB-5F73-5D52-E936C80BFBFB}"/>
            </a:ext>
          </a:extLst>
        </xdr:cNvPr>
        <xdr:cNvSpPr txBox="1"/>
      </xdr:nvSpPr>
      <xdr:spPr>
        <a:xfrm>
          <a:off x="5593898" y="4781549"/>
          <a:ext cx="94297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8EECA7-7B4B-48E0-AAB8-2722FC50318C}" type="TxLink">
            <a:rPr lang="en-US" sz="1600" b="0" i="0" u="none" strike="noStrike">
              <a:solidFill>
                <a:srgbClr val="2A1713"/>
              </a:solidFill>
              <a:latin typeface="Franklin Gothic Medium" panose="020B0603020102020204" pitchFamily="34" charset="0"/>
            </a:rPr>
            <a:pPr algn="ctr"/>
            <a:t>68.65%</a:t>
          </a:fld>
          <a:endParaRPr lang="en-US" sz="2400">
            <a:solidFill>
              <a:srgbClr val="2A1713"/>
            </a:solidFill>
            <a:latin typeface="Franklin Gothic Medium" panose="020B0603020102020204" pitchFamily="34" charset="0"/>
          </a:endParaRPr>
        </a:p>
      </xdr:txBody>
    </xdr:sp>
    <xdr:clientData/>
  </xdr:twoCellAnchor>
  <xdr:twoCellAnchor>
    <xdr:from>
      <xdr:col>10</xdr:col>
      <xdr:colOff>28575</xdr:colOff>
      <xdr:row>5</xdr:row>
      <xdr:rowOff>126724</xdr:rowOff>
    </xdr:from>
    <xdr:to>
      <xdr:col>15</xdr:col>
      <xdr:colOff>38100</xdr:colOff>
      <xdr:row>7</xdr:row>
      <xdr:rowOff>2899</xdr:rowOff>
    </xdr:to>
    <xdr:sp macro="" textlink="">
      <xdr:nvSpPr>
        <xdr:cNvPr id="20" name="TextBox 19">
          <a:extLst>
            <a:ext uri="{FF2B5EF4-FFF2-40B4-BE49-F238E27FC236}">
              <a16:creationId xmlns:a16="http://schemas.microsoft.com/office/drawing/2014/main" id="{0FBDBBFB-370B-6666-2AD3-403BE9104A4D}"/>
            </a:ext>
          </a:extLst>
        </xdr:cNvPr>
        <xdr:cNvSpPr txBox="1"/>
      </xdr:nvSpPr>
      <xdr:spPr>
        <a:xfrm>
          <a:off x="6157705" y="1079224"/>
          <a:ext cx="307409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0" u="none" strike="noStrike">
              <a:solidFill>
                <a:srgbClr val="000000"/>
              </a:solidFill>
              <a:latin typeface="Franklin Gothic Medium" panose="020B0603020102020204" pitchFamily="34" charset="0"/>
            </a:rPr>
            <a:t>Revenue</a:t>
          </a:r>
          <a:r>
            <a:rPr lang="en-US" sz="1400" b="0" i="0" u="none" strike="noStrike" baseline="0">
              <a:solidFill>
                <a:srgbClr val="000000"/>
              </a:solidFill>
              <a:latin typeface="Franklin Gothic Medium" panose="020B0603020102020204" pitchFamily="34" charset="0"/>
            </a:rPr>
            <a:t> by Month</a:t>
          </a:r>
          <a:endParaRPr lang="en-US" sz="1400" b="0" i="0" u="none" strike="noStrike">
            <a:solidFill>
              <a:srgbClr val="000000"/>
            </a:solidFill>
            <a:latin typeface="Franklin Gothic Medium" panose="020B0603020102020204" pitchFamily="34" charset="0"/>
          </a:endParaRPr>
        </a:p>
      </xdr:txBody>
    </xdr:sp>
    <xdr:clientData/>
  </xdr:twoCellAnchor>
  <xdr:twoCellAnchor>
    <xdr:from>
      <xdr:col>12</xdr:col>
      <xdr:colOff>171449</xdr:colOff>
      <xdr:row>20</xdr:row>
      <xdr:rowOff>152399</xdr:rowOff>
    </xdr:from>
    <xdr:to>
      <xdr:col>17</xdr:col>
      <xdr:colOff>180974</xdr:colOff>
      <xdr:row>22</xdr:row>
      <xdr:rowOff>28574</xdr:rowOff>
    </xdr:to>
    <xdr:sp macro="" textlink="">
      <xdr:nvSpPr>
        <xdr:cNvPr id="21" name="TextBox 20">
          <a:extLst>
            <a:ext uri="{FF2B5EF4-FFF2-40B4-BE49-F238E27FC236}">
              <a16:creationId xmlns:a16="http://schemas.microsoft.com/office/drawing/2014/main" id="{4E6C533D-1686-724E-DC7F-2E3D59104CDC}"/>
            </a:ext>
          </a:extLst>
        </xdr:cNvPr>
        <xdr:cNvSpPr txBox="1"/>
      </xdr:nvSpPr>
      <xdr:spPr>
        <a:xfrm>
          <a:off x="7486649" y="3962399"/>
          <a:ext cx="3057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0" u="none" strike="noStrike">
              <a:solidFill>
                <a:srgbClr val="000000"/>
              </a:solidFill>
              <a:latin typeface="Franklin Gothic Medium" panose="020B0603020102020204" pitchFamily="34" charset="0"/>
            </a:rPr>
            <a:t>Top</a:t>
          </a:r>
          <a:r>
            <a:rPr lang="en-US" sz="1400" b="0" i="0" u="none" strike="noStrike" baseline="0">
              <a:solidFill>
                <a:srgbClr val="000000"/>
              </a:solidFill>
              <a:latin typeface="Franklin Gothic Medium" panose="020B0603020102020204" pitchFamily="34" charset="0"/>
            </a:rPr>
            <a:t> 5 Products by Revenue</a:t>
          </a:r>
          <a:endParaRPr lang="en-US" sz="1400" b="0" i="0" u="none" strike="noStrike">
            <a:solidFill>
              <a:srgbClr val="000000"/>
            </a:solidFill>
            <a:latin typeface="Franklin Gothic Medium" panose="020B0603020102020204" pitchFamily="34" charset="0"/>
          </a:endParaRPr>
        </a:p>
      </xdr:txBody>
    </xdr:sp>
    <xdr:clientData/>
  </xdr:twoCellAnchor>
  <xdr:twoCellAnchor>
    <xdr:from>
      <xdr:col>0</xdr:col>
      <xdr:colOff>480732</xdr:colOff>
      <xdr:row>20</xdr:row>
      <xdr:rowOff>152399</xdr:rowOff>
    </xdr:from>
    <xdr:to>
      <xdr:col>5</xdr:col>
      <xdr:colOff>490257</xdr:colOff>
      <xdr:row>22</xdr:row>
      <xdr:rowOff>28574</xdr:rowOff>
    </xdr:to>
    <xdr:sp macro="" textlink="">
      <xdr:nvSpPr>
        <xdr:cNvPr id="22" name="TextBox 21">
          <a:extLst>
            <a:ext uri="{FF2B5EF4-FFF2-40B4-BE49-F238E27FC236}">
              <a16:creationId xmlns:a16="http://schemas.microsoft.com/office/drawing/2014/main" id="{6B7A69E3-2A80-2B66-EA3C-33132B692441}"/>
            </a:ext>
          </a:extLst>
        </xdr:cNvPr>
        <xdr:cNvSpPr txBox="1"/>
      </xdr:nvSpPr>
      <xdr:spPr>
        <a:xfrm>
          <a:off x="480732" y="3962399"/>
          <a:ext cx="307113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0" u="none" strike="noStrike">
              <a:solidFill>
                <a:srgbClr val="000000"/>
              </a:solidFill>
              <a:latin typeface="Franklin Gothic Medium" panose="020B0603020102020204" pitchFamily="34" charset="0"/>
            </a:rPr>
            <a:t>Revenue</a:t>
          </a:r>
          <a:r>
            <a:rPr lang="en-US" sz="1400" b="0" i="0" u="none" strike="noStrike" baseline="0">
              <a:solidFill>
                <a:srgbClr val="000000"/>
              </a:solidFill>
              <a:latin typeface="Franklin Gothic Medium" panose="020B0603020102020204" pitchFamily="34" charset="0"/>
            </a:rPr>
            <a:t> by Product Category</a:t>
          </a:r>
          <a:endParaRPr lang="en-US" sz="1400" b="0" i="0" u="none" strike="noStrike">
            <a:solidFill>
              <a:srgbClr val="000000"/>
            </a:solidFill>
            <a:latin typeface="Franklin Gothic Medium" panose="020B0603020102020204" pitchFamily="34" charset="0"/>
          </a:endParaRPr>
        </a:p>
      </xdr:txBody>
    </xdr:sp>
    <xdr:clientData/>
  </xdr:twoCellAnchor>
  <xdr:twoCellAnchor>
    <xdr:from>
      <xdr:col>0</xdr:col>
      <xdr:colOff>581396</xdr:colOff>
      <xdr:row>4</xdr:row>
      <xdr:rowOff>13607</xdr:rowOff>
    </xdr:from>
    <xdr:to>
      <xdr:col>6</xdr:col>
      <xdr:colOff>217714</xdr:colOff>
      <xdr:row>6</xdr:row>
      <xdr:rowOff>0</xdr:rowOff>
    </xdr:to>
    <xdr:sp macro="" textlink="">
      <xdr:nvSpPr>
        <xdr:cNvPr id="23" name="TextBox 22">
          <a:extLst>
            <a:ext uri="{FF2B5EF4-FFF2-40B4-BE49-F238E27FC236}">
              <a16:creationId xmlns:a16="http://schemas.microsoft.com/office/drawing/2014/main" id="{5E649B01-9D10-16A4-9623-6988409C44A2}"/>
            </a:ext>
          </a:extLst>
        </xdr:cNvPr>
        <xdr:cNvSpPr txBox="1"/>
      </xdr:nvSpPr>
      <xdr:spPr>
        <a:xfrm>
          <a:off x="581396" y="775607"/>
          <a:ext cx="3310247"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2A1713"/>
              </a:solidFill>
              <a:latin typeface="Franklin Gothic Medium" panose="020B0603020102020204" pitchFamily="34" charset="0"/>
            </a:rPr>
            <a:t>Sales</a:t>
          </a:r>
          <a:r>
            <a:rPr lang="en-US" sz="2000" baseline="0">
              <a:solidFill>
                <a:srgbClr val="2A1713"/>
              </a:solidFill>
              <a:latin typeface="Franklin Gothic Medium" panose="020B0603020102020204" pitchFamily="34" charset="0"/>
            </a:rPr>
            <a:t> Performance</a:t>
          </a:r>
          <a:endParaRPr lang="en-US" sz="2000">
            <a:solidFill>
              <a:srgbClr val="2A1713"/>
            </a:solidFill>
            <a:latin typeface="Franklin Gothic Medium" panose="020B0603020102020204" pitchFamily="34" charset="0"/>
          </a:endParaRPr>
        </a:p>
      </xdr:txBody>
    </xdr:sp>
    <xdr:clientData/>
  </xdr:twoCellAnchor>
  <xdr:twoCellAnchor editAs="oneCell">
    <xdr:from>
      <xdr:col>0</xdr:col>
      <xdr:colOff>326572</xdr:colOff>
      <xdr:row>5</xdr:row>
      <xdr:rowOff>120447</xdr:rowOff>
    </xdr:from>
    <xdr:to>
      <xdr:col>6</xdr:col>
      <xdr:colOff>503464</xdr:colOff>
      <xdr:row>9</xdr:row>
      <xdr:rowOff>95251</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32CDB371-FF96-49D9-B418-D07B3C40237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6572" y="1072947"/>
              <a:ext cx="3850821" cy="736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480732</xdr:colOff>
      <xdr:row>8</xdr:row>
      <xdr:rowOff>108858</xdr:rowOff>
    </xdr:from>
    <xdr:to>
      <xdr:col>5</xdr:col>
      <xdr:colOff>183728</xdr:colOff>
      <xdr:row>14</xdr:row>
      <xdr:rowOff>163286</xdr:rowOff>
    </xdr:to>
    <xdr:sp macro="" textlink="PivotTables!B4">
      <xdr:nvSpPr>
        <xdr:cNvPr id="4" name="TextBox 3">
          <a:extLst>
            <a:ext uri="{FF2B5EF4-FFF2-40B4-BE49-F238E27FC236}">
              <a16:creationId xmlns:a16="http://schemas.microsoft.com/office/drawing/2014/main" id="{10B7F5AD-8847-BF1B-88C6-A91AB09D0E38}"/>
            </a:ext>
          </a:extLst>
        </xdr:cNvPr>
        <xdr:cNvSpPr txBox="1"/>
      </xdr:nvSpPr>
      <xdr:spPr>
        <a:xfrm>
          <a:off x="480732" y="1632858"/>
          <a:ext cx="2764603" cy="1197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8CBD9E4-5D80-499E-8F94-DAA67A1CDFE9}" type="TxLink">
            <a:rPr lang="en-US" sz="4000" b="1" i="0" u="none" strike="noStrike">
              <a:solidFill>
                <a:srgbClr val="000000"/>
              </a:solidFill>
              <a:latin typeface="Franklin Gothic Book" panose="020B0503020102020204" pitchFamily="34" charset="0"/>
            </a:rPr>
            <a:pPr algn="l"/>
            <a:t>₦ 2.45M</a:t>
          </a:fld>
          <a:endParaRPr lang="en-US" sz="4000" b="1">
            <a:solidFill>
              <a:srgbClr val="2A1713"/>
            </a:solidFill>
            <a:latin typeface="Franklin Gothic Book" panose="020B05030201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ADE" refreshedDate="46293.974186226849" backgroundQuery="1" createdVersion="8" refreshedVersion="8" minRefreshableVersion="3" recordCount="0" supportSubquery="1" supportAdvancedDrill="1" xr:uid="{A7FE0B55-00E4-4068-B4D9-80A2148B07D3}">
  <cacheSource type="external" connectionId="2"/>
  <cacheFields count="5">
    <cacheField name="[Measures].[Total Revenue]" caption="Total Revenue" numFmtId="0" hierarchy="14" level="32767"/>
    <cacheField name="[Measures].[Total Orders]" caption="Total Orders" numFmtId="0" hierarchy="15" level="32767"/>
    <cacheField name="[Measures].[Total Quantity Sold]" caption="Total Quantity Sold" numFmtId="0" hierarchy="16" level="32767"/>
    <cacheField name="[Measures].[Average Order Value]" caption="Average Order Value" numFmtId="0" hierarchy="17" level="32767"/>
    <cacheField name="[Sales_Data].[Region].[Region]" caption="Region" numFmtId="0" hierarchy="2" level="1">
      <sharedItems containsSemiMixedTypes="0" containsNonDate="0" containsString="0"/>
    </cacheField>
  </cacheFields>
  <cacheHierarchies count="20">
    <cacheHierarchy uniqueName="[Sales_Data].[Order ID]" caption="Order ID" attribute="1" defaultMemberUniqueName="[Sales_Data].[Order ID].[All]" allUniqueName="[Sales_Data].[Order ID].[All]" dimensionUniqueName="[Sales_Data]" displayFolder="" count="2"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4"/>
      </fieldsUsage>
    </cacheHierarchy>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Unit Price]" caption="Unit Price" attribute="1" defaultMemberUniqueName="[Sales_Data].[Unit Price].[All]" allUniqueName="[Sales_Data].[Unit Price].[All]" dimensionUniqueName="[Sales_Data]" displayFolder="" count="2" memberValueDatatype="5"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Revenue]" caption="Revenue" attribute="1" defaultMemberUniqueName="[Sales_Data].[Revenue].[All]" allUniqueName="[Sales_Data].[Revenue].[All]" dimensionUniqueName="[Sales_Data]" displayFolder="" count="2" memberValueDatatype="5"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2"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oneField="1">
      <fieldsUsage count="1">
        <fieldUsage x="1"/>
      </fieldsUsage>
    </cacheHierarchy>
    <cacheHierarchy uniqueName="[Measures].[Total Quantity Sold]" caption="Total Quantity Sold" measure="1" displayFolder="" measureGroup="Sales_Data" count="0" oneField="1">
      <fieldsUsage count="1">
        <fieldUsage x="2"/>
      </fieldsUsage>
    </cacheHierarchy>
    <cacheHierarchy uniqueName="[Measures].[Average Order Value]" caption="Average Order Value" measure="1" displayFolder="" measureGroup="Sales_Data" count="0" oneField="1">
      <fieldsUsage count="1">
        <fieldUsage x="3"/>
      </fieldsUsage>
    </cacheHierarchy>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ADE" refreshedDate="46293.97418784722" backgroundQuery="1" createdVersion="8" refreshedVersion="8" minRefreshableVersion="3" recordCount="0" supportSubquery="1" supportAdvancedDrill="1" xr:uid="{8464195A-B64C-4F10-B4E8-5AB7970649FA}">
  <cacheSource type="external" connectionId="2"/>
  <cacheFields count="3">
    <cacheField name="[Measures].[Total Revenue]" caption="Total Revenue" numFmtId="0" hierarchy="14" level="32767"/>
    <cacheField name="[Sales_Data].[Date (Month)].[Date (Month)]" caption="Date (Month)" numFmtId="0" hierarchy="12" level="1">
      <sharedItems count="12">
        <s v="Jan"/>
        <s v="Feb"/>
        <s v="Mar"/>
        <s v="Apr"/>
        <s v="May"/>
        <s v="Jun"/>
        <s v="Jul"/>
        <s v="Aug"/>
        <s v="Sep"/>
        <s v="Oct"/>
        <s v="Nov"/>
        <s v="Dec"/>
      </sharedItems>
    </cacheField>
    <cacheField name="[Sales_Data].[Region].[Region]" caption="Region" numFmtId="0" hierarchy="2" level="1">
      <sharedItems containsSemiMixedTypes="0" containsNonDate="0" containsString="0"/>
    </cacheField>
  </cacheFields>
  <cacheHierarchies count="20">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1"/>
      </fieldsUsage>
    </cacheHierarchy>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cacheHierarchy uniqueName="[Measures].[Total Quantity Sold]" caption="Total Quantity Sold"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ADE" refreshedDate="46293.974189120374" backgroundQuery="1" createdVersion="8" refreshedVersion="8" minRefreshableVersion="3" recordCount="0" supportSubquery="1" supportAdvancedDrill="1" xr:uid="{4C294FB0-2581-446B-B2B0-32084E9C7D8D}">
  <cacheSource type="external" connectionId="2"/>
  <cacheFields count="2">
    <cacheField name="[Measures].[Total Revenue]" caption="Total Revenue" numFmtId="0" hierarchy="14" level="32767"/>
    <cacheField name="[Sales_Data].[Region].[Region]" caption="Region" numFmtId="0" hierarchy="2" level="1">
      <sharedItems count="5">
        <s v="Central"/>
        <s v="East"/>
        <s v="North"/>
        <s v="South"/>
        <s v="West"/>
      </sharedItems>
    </cacheField>
  </cacheFields>
  <cacheHierarchies count="20">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cacheHierarchy uniqueName="[Measures].[Total Quantity Sold]" caption="Total Quantity Sold"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ADE" refreshedDate="46293.974190393521" backgroundQuery="1" createdVersion="8" refreshedVersion="8" minRefreshableVersion="3" recordCount="0" supportSubquery="1" supportAdvancedDrill="1" xr:uid="{9A9A6D95-53C5-4373-B393-5A87F9E835A7}">
  <cacheSource type="external" connectionId="2"/>
  <cacheFields count="4">
    <cacheField name="[Measures].[Total Revenue]" caption="Total Revenue" numFmtId="0" hierarchy="14" level="32767"/>
    <cacheField name="[Sales_Data].[Product Category].[Product Category]" caption="Product Category" numFmtId="0" hierarchy="5" level="1">
      <sharedItems count="6">
        <s v="Accessories"/>
        <s v="Computers"/>
        <s v="Monitors"/>
        <s v="Networking"/>
        <s v="Office Supplies"/>
        <s v="Storage"/>
      </sharedItems>
    </cacheField>
    <cacheField name="[Measures].[Total Orders]" caption="Total Orders" numFmtId="0" hierarchy="15" level="32767"/>
    <cacheField name="[Sales_Data].[Region].[Region]" caption="Region" numFmtId="0" hierarchy="2" level="1">
      <sharedItems containsSemiMixedTypes="0" containsNonDate="0" containsString="0"/>
    </cacheField>
  </cacheFields>
  <cacheHierarchies count="20">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2" memberValueDatatype="130" unbalanced="0">
      <fieldsUsage count="2">
        <fieldUsage x="-1"/>
        <fieldUsage x="1"/>
      </fieldsUsage>
    </cacheHierarchy>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oneField="1">
      <fieldsUsage count="1">
        <fieldUsage x="2"/>
      </fieldsUsage>
    </cacheHierarchy>
    <cacheHierarchy uniqueName="[Measures].[Total Quantity Sold]" caption="Total Quantity Sold"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ADE" refreshedDate="46293.974191898145" backgroundQuery="1" createdVersion="8" refreshedVersion="8" minRefreshableVersion="3" recordCount="0" supportSubquery="1" supportAdvancedDrill="1" xr:uid="{56979DD0-2DD3-43D5-9669-2B2DA8965249}">
  <cacheSource type="external" connectionId="2"/>
  <cacheFields count="3">
    <cacheField name="[Measures].[Total Revenue]" caption="Total Revenue" numFmtId="0" hierarchy="14" level="32767"/>
    <cacheField name="[Sales_Data].[Customer Type].[Customer Type]" caption="Customer Type" numFmtId="0" hierarchy="4" level="1">
      <sharedItems count="2">
        <s v="New"/>
        <s v="Returning"/>
      </sharedItems>
    </cacheField>
    <cacheField name="[Sales_Data].[Region].[Region]" caption="Region" numFmtId="0" hierarchy="2" level="1">
      <sharedItems containsSemiMixedTypes="0" containsNonDate="0" containsString="0"/>
    </cacheField>
  </cacheFields>
  <cacheHierarchies count="20">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fieldsUsage count="2">
        <fieldUsage x="-1"/>
        <fieldUsage x="1"/>
      </fieldsUsage>
    </cacheHierarchy>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cacheHierarchy uniqueName="[Measures].[Total Quantity Sold]" caption="Total Quantity Sold"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ADE" refreshedDate="46293.97419375" backgroundQuery="1" createdVersion="8" refreshedVersion="8" minRefreshableVersion="3" recordCount="0" supportSubquery="1" supportAdvancedDrill="1" xr:uid="{36D1781F-D43F-4D67-BDF8-463496026D57}">
  <cacheSource type="external" connectionId="2"/>
  <cacheFields count="3">
    <cacheField name="[Measures].[Total Revenue]" caption="Total Revenue" numFmtId="0" hierarchy="14" level="32767"/>
    <cacheField name="[Sales_Data].[Product].[Product]" caption="Product" numFmtId="0" hierarchy="6" level="1">
      <sharedItems count="5">
        <s v="All-in-One PC"/>
        <s v="Gaming Laptop"/>
        <s v="Laptop Air 13"/>
        <s v="Laptop Pro 14"/>
        <s v="Ultrawide Monitor"/>
      </sharedItems>
    </cacheField>
    <cacheField name="[Sales_Data].[Region].[Region]" caption="Region" numFmtId="0" hierarchy="2" level="1">
      <sharedItems containsSemiMixedTypes="0" containsNonDate="0" containsString="0"/>
    </cacheField>
  </cacheFields>
  <cacheHierarchies count="20">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cacheHierarchy uniqueName="[Measures].[Total Quantity Sold]" caption="Total Quantity Sold"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ADE" refreshedDate="46293.974194907409" backgroundQuery="1" createdVersion="8" refreshedVersion="8" minRefreshableVersion="3" recordCount="0" supportSubquery="1" supportAdvancedDrill="1" xr:uid="{AB4C98AA-5B9E-4439-9BC6-128A91CA7E9B}">
  <cacheSource type="external" connectionId="2"/>
  <cacheFields count="4">
    <cacheField name="[Measures].[Total Revenue]" caption="Total Revenue" numFmtId="0" hierarchy="14" level="32767"/>
    <cacheField name="[Sales_Data].[Customer Type].[Customer Type]" caption="Customer Type" numFmtId="0" hierarchy="4" level="1">
      <sharedItems count="2">
        <s v="New"/>
        <s v="Returning"/>
      </sharedItems>
    </cacheField>
    <cacheField name="[Sales_Data].[Sales Channel].[Sales Channel]" caption="Sales Channel" numFmtId="0" hierarchy="3" level="1">
      <sharedItems count="4">
        <s v="Corporate Sales"/>
        <s v="Marketplace"/>
        <s v="Online"/>
        <s v="Retail Store"/>
      </sharedItems>
    </cacheField>
    <cacheField name="[Sales_Data].[Region].[Region]" caption="Region" numFmtId="0" hierarchy="2" level="1">
      <sharedItems containsSemiMixedTypes="0" containsNonDate="0" containsString="0"/>
    </cacheField>
  </cacheFields>
  <cacheHierarchies count="20">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Sales Channel]" caption="Sales Channel" attribute="1" defaultMemberUniqueName="[Sales_Data].[Sales Channel].[All]" allUniqueName="[Sales_Data].[Sales Channel].[All]" dimensionUniqueName="[Sales_Data]" displayFolder="" count="2" memberValueDatatype="130" unbalanced="0">
      <fieldsUsage count="2">
        <fieldUsage x="-1"/>
        <fieldUsage x="2"/>
      </fieldsUsage>
    </cacheHierarchy>
    <cacheHierarchy uniqueName="[Sales_Data].[Customer Type]" caption="Customer Type" attribute="1" defaultMemberUniqueName="[Sales_Data].[Customer Type].[All]" allUniqueName="[Sales_Data].[Customer Type].[All]" dimensionUniqueName="[Sales_Data]" displayFolder="" count="2" memberValueDatatype="130" unbalanced="0">
      <fieldsUsage count="2">
        <fieldUsage x="-1"/>
        <fieldUsage x="1"/>
      </fieldsUsage>
    </cacheHierarchy>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cacheHierarchy uniqueName="[Measures].[Total Quantity Sold]" caption="Total Quantity Sold"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ADE" refreshedDate="46293.828473611109" backgroundQuery="1" createdVersion="3" refreshedVersion="8" minRefreshableVersion="3" recordCount="0" supportSubquery="1" supportAdvancedDrill="1" xr:uid="{A42C4CC8-457C-4854-97A9-8BFD1F191F85}">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Total Quantity Sold]" caption="Total Quantity Sold"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78929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64FA6F-7944-452B-AE31-2780676AB6FE}"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 Type">
  <location ref="E16:F19" firstHeaderRow="1" firstDataRow="1" firstDataCol="1"/>
  <pivotFields count="3">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1"/>
    </i>
    <i>
      <x/>
    </i>
    <i t="grand">
      <x/>
    </i>
  </rowItems>
  <colItems count="1">
    <i/>
  </colItems>
  <dataFields count="1">
    <dataField fld="0" subtotal="count" baseField="0" baseItem="0" numFmtId="164"/>
  </dataFields>
  <formats count="1">
    <format dxfId="0">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F100AA-DF1A-4D71-811B-3645449A1C4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Category">
  <location ref="H3:J10" firstHeaderRow="0"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i="1">
      <x v="1"/>
    </i>
  </colItems>
  <dataFields count="2">
    <dataField fld="0" subtotal="count" baseField="0" baseItem="0" numFmtId="164"/>
    <dataField fld="2" subtotal="count" baseField="0" baseItem="0" numFmtId="1"/>
  </dataFields>
  <formats count="2">
    <format dxfId="2">
      <pivotArea outline="0" collapsedLevelsAreSubtotals="1" fieldPosition="0"/>
    </format>
    <format dxfId="1">
      <pivotArea outline="0" collapsedLevelsAreSubtotals="1" fieldPosition="0">
        <references count="1">
          <reference field="4294967294" count="1" selected="0">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 count="1" selected="0">
            <x v="3"/>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71DBA-0C7C-4E82-9EBA-0BFD3AA6A52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7:F13"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numFmtId="164"/>
  </dataFields>
  <formats count="1">
    <format dxfId="3">
      <pivotArea outline="0" collapsedLevelsAreSubtotals="1" fieldPosition="0"/>
    </format>
  </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03CBF0-F37E-4F1B-A1F9-556AB1749F7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B7:C20" firstHeaderRow="1" firstDataRow="1" firstDataCol="1"/>
  <pivotFields count="3">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4"/>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A81E6E-25B2-410D-B909-4CCD26BDD774}"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 Channel">
  <location ref="K14:L19" firstHeaderRow="1" firstDataRow="1" firstDataCol="1"/>
  <pivotFields count="4">
    <pivotField dataField="1" subtotalTop="0" showAll="0" defaultSubtotal="0"/>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numFmtId="164"/>
  </dataFields>
  <formats count="1">
    <format dxfId="5">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AC143D-C410-49A6-84E4-0650729ECF4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H14:I20" firstHeaderRow="1" firstDataRow="1" firstDataCol="1"/>
  <pivotFields count="3">
    <pivotField dataField="1" subtotalTop="0" showAll="0" defaultSubtotal="0"/>
    <pivotField axis="axisRow" allDrilled="1" subtotalTop="0" showAll="0" hideNewItems="1"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i>
    <i>
      <x v="3"/>
    </i>
    <i>
      <x v="2"/>
    </i>
    <i>
      <x v="1"/>
    </i>
    <i t="grand">
      <x/>
    </i>
  </rowItems>
  <colItems count="1">
    <i/>
  </colItems>
  <dataFields count="1">
    <dataField fld="0" subtotal="count" baseField="0" baseItem="0" numFmtId="164"/>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4">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C83F22-FD42-40B0-B77F-FC29D10C67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4"/>
    <dataField fld="1" subtotal="count" baseField="0" baseItem="0"/>
    <dataField fld="2" subtotal="count" baseField="0" baseItem="0"/>
    <dataField fld="3" subtotal="count" baseField="0" baseItem="0" numFmtId="164"/>
  </dataFields>
  <formats count="2">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3"/>
          </reference>
        </references>
      </pivotArea>
    </format>
  </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C719D3-E6A6-4CC1-B0F0-5A0004F71E28}" sourceName="[Sales_Data].[Region]">
  <pivotTables>
    <pivotTable tabId="1" name="PivotTable1"/>
    <pivotTable tabId="1" name="PivotTable2"/>
    <pivotTable tabId="1" name="PivotTable3"/>
    <pivotTable tabId="1" name="PivotTable4"/>
    <pivotTable tabId="1" name="PivotTable5"/>
    <pivotTable tabId="1" name="PivotTable6"/>
    <pivotTable tabId="1" name="PivotTable7"/>
  </pivotTables>
  <data>
    <olap pivotCacheId="657892984">
      <levels count="2">
        <level uniqueName="[Sales_Data].[Region].[(All)]" sourceCaption="(All)" count="0"/>
        <level uniqueName="[Sales_Data].[Region].[Region]" sourceCaption="Region" count="5">
          <ranges>
            <range startItem="0">
              <i n="[Sales_Data].[Region].&amp;[Central]" c="Central"/>
              <i n="[Sales_Data].[Region].&amp;[East]" c="East"/>
              <i n="[Sales_Data].[Region].&amp;[North]" c="North"/>
              <i n="[Sales_Data].[Region].&amp;[South]" c="South"/>
              <i n="[Sales_Data].[Region].&amp;[West]" c="West"/>
            </range>
          </ranges>
        </level>
      </levels>
      <selections count="1">
        <selection n="[Sales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858884F-8DE2-4BF4-82FC-74445EAF3DAD}" cache="Slicer_Region" caption="Region" columnCount="5" level="1" style="Slicer Style 1" rowHeight="257175"/>
  <slicer name="Region 1" xr10:uid="{886D3A88-C167-4044-9C15-0BBC7B5B5AE2}" cache="Slicer_Region" caption="Region" columnCount="5" level="1"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8F8CE-803E-4B04-8C54-44849D82E9EC}">
  <dimension ref="B2:L21"/>
  <sheetViews>
    <sheetView workbookViewId="0">
      <selection activeCell="B3" sqref="B3"/>
    </sheetView>
  </sheetViews>
  <sheetFormatPr defaultRowHeight="15" x14ac:dyDescent="0.25"/>
  <cols>
    <col min="2" max="2" width="11.28515625" bestFit="1" customWidth="1"/>
    <col min="3" max="3" width="14" bestFit="1" customWidth="1"/>
    <col min="4" max="4" width="18.28515625" bestFit="1" customWidth="1"/>
    <col min="5" max="5" width="17.140625" bestFit="1" customWidth="1"/>
    <col min="6" max="6" width="14" bestFit="1" customWidth="1"/>
    <col min="8" max="8" width="16.85546875" bestFit="1" customWidth="1"/>
    <col min="9" max="9" width="14" bestFit="1" customWidth="1"/>
    <col min="10" max="10" width="12" bestFit="1" customWidth="1"/>
    <col min="11" max="11" width="16.28515625" bestFit="1" customWidth="1"/>
    <col min="12" max="12" width="14" bestFit="1" customWidth="1"/>
  </cols>
  <sheetData>
    <row r="2" spans="2:12" x14ac:dyDescent="0.25">
      <c r="H2" t="s">
        <v>44</v>
      </c>
    </row>
    <row r="3" spans="2:12" x14ac:dyDescent="0.25">
      <c r="B3" t="s">
        <v>0</v>
      </c>
      <c r="C3" t="s">
        <v>1</v>
      </c>
      <c r="D3" t="s">
        <v>2</v>
      </c>
      <c r="E3" t="s">
        <v>3</v>
      </c>
      <c r="H3" s="2" t="s">
        <v>40</v>
      </c>
      <c r="I3" t="s">
        <v>0</v>
      </c>
      <c r="J3" t="s">
        <v>1</v>
      </c>
    </row>
    <row r="4" spans="2:12" x14ac:dyDescent="0.25">
      <c r="B4" s="5">
        <v>2452084.3012999976</v>
      </c>
      <c r="C4" s="1">
        <v>2000</v>
      </c>
      <c r="D4" s="1">
        <v>5552</v>
      </c>
      <c r="E4" s="5">
        <v>1226.0421506499988</v>
      </c>
      <c r="H4" s="3" t="s">
        <v>24</v>
      </c>
      <c r="I4" s="5">
        <v>72895.258100000006</v>
      </c>
      <c r="J4" s="6">
        <v>503</v>
      </c>
    </row>
    <row r="5" spans="2:12" x14ac:dyDescent="0.25">
      <c r="H5" s="3" t="s">
        <v>25</v>
      </c>
      <c r="I5" s="5">
        <v>1346491.26</v>
      </c>
      <c r="J5" s="6">
        <v>338</v>
      </c>
    </row>
    <row r="6" spans="2:12" x14ac:dyDescent="0.25">
      <c r="B6" t="s">
        <v>18</v>
      </c>
      <c r="E6" t="s">
        <v>43</v>
      </c>
      <c r="H6" s="3" t="s">
        <v>26</v>
      </c>
      <c r="I6" s="5">
        <v>526744.58999999985</v>
      </c>
      <c r="J6" s="6">
        <v>353</v>
      </c>
    </row>
    <row r="7" spans="2:12" x14ac:dyDescent="0.25">
      <c r="B7" s="2" t="s">
        <v>17</v>
      </c>
      <c r="C7" t="s">
        <v>0</v>
      </c>
      <c r="E7" s="2" t="s">
        <v>41</v>
      </c>
      <c r="F7" t="s">
        <v>0</v>
      </c>
      <c r="H7" s="3" t="s">
        <v>27</v>
      </c>
      <c r="I7" s="5">
        <v>259475.30900000001</v>
      </c>
      <c r="J7" s="6">
        <v>231</v>
      </c>
    </row>
    <row r="8" spans="2:12" x14ac:dyDescent="0.25">
      <c r="B8" s="3" t="s">
        <v>5</v>
      </c>
      <c r="C8" s="5">
        <v>168680.6281</v>
      </c>
      <c r="E8" s="3" t="s">
        <v>19</v>
      </c>
      <c r="F8" s="5">
        <v>556705.17709999974</v>
      </c>
      <c r="H8" s="3" t="s">
        <v>28</v>
      </c>
      <c r="I8" s="5">
        <v>16640.258200000011</v>
      </c>
      <c r="J8" s="6">
        <v>246</v>
      </c>
    </row>
    <row r="9" spans="2:12" x14ac:dyDescent="0.25">
      <c r="B9" s="3" t="s">
        <v>6</v>
      </c>
      <c r="C9" s="5">
        <v>173605.24770000004</v>
      </c>
      <c r="E9" s="3" t="s">
        <v>20</v>
      </c>
      <c r="F9" s="5">
        <v>467808.84970000014</v>
      </c>
      <c r="H9" s="3" t="s">
        <v>29</v>
      </c>
      <c r="I9" s="5">
        <v>229837.62599999999</v>
      </c>
      <c r="J9" s="6">
        <v>329</v>
      </c>
    </row>
    <row r="10" spans="2:12" x14ac:dyDescent="0.25">
      <c r="B10" s="3" t="s">
        <v>7</v>
      </c>
      <c r="C10" s="5">
        <v>236738.69750000007</v>
      </c>
      <c r="E10" s="3" t="s">
        <v>21</v>
      </c>
      <c r="F10" s="5">
        <v>561753.72459999996</v>
      </c>
      <c r="H10" s="3" t="s">
        <v>4</v>
      </c>
      <c r="I10" s="5">
        <v>2452084.3012999976</v>
      </c>
      <c r="J10" s="6">
        <v>2000</v>
      </c>
    </row>
    <row r="11" spans="2:12" x14ac:dyDescent="0.25">
      <c r="B11" s="3" t="s">
        <v>8</v>
      </c>
      <c r="C11" s="5">
        <v>241034.34019999992</v>
      </c>
      <c r="E11" s="3" t="s">
        <v>22</v>
      </c>
      <c r="F11" s="5">
        <v>444494.30199999985</v>
      </c>
    </row>
    <row r="12" spans="2:12" x14ac:dyDescent="0.25">
      <c r="B12" s="3" t="s">
        <v>9</v>
      </c>
      <c r="C12" s="5">
        <v>153642.42720000001</v>
      </c>
      <c r="E12" s="3" t="s">
        <v>23</v>
      </c>
      <c r="F12" s="5">
        <v>421322.24789999973</v>
      </c>
    </row>
    <row r="13" spans="2:12" x14ac:dyDescent="0.25">
      <c r="B13" s="3" t="s">
        <v>10</v>
      </c>
      <c r="C13" s="5">
        <v>258658.95200000005</v>
      </c>
      <c r="E13" s="3" t="s">
        <v>4</v>
      </c>
      <c r="F13" s="5">
        <v>2452084.3012999976</v>
      </c>
      <c r="H13" s="3" t="s">
        <v>45</v>
      </c>
      <c r="K13" s="3" t="s">
        <v>46</v>
      </c>
    </row>
    <row r="14" spans="2:12" x14ac:dyDescent="0.25">
      <c r="B14" s="3" t="s">
        <v>11</v>
      </c>
      <c r="C14" s="5">
        <v>150713.13980000003</v>
      </c>
      <c r="H14" s="2" t="s">
        <v>39</v>
      </c>
      <c r="I14" t="s">
        <v>0</v>
      </c>
      <c r="K14" s="2" t="s">
        <v>42</v>
      </c>
      <c r="L14" t="s">
        <v>0</v>
      </c>
    </row>
    <row r="15" spans="2:12" x14ac:dyDescent="0.25">
      <c r="B15" s="3" t="s">
        <v>12</v>
      </c>
      <c r="C15" s="5">
        <v>185321.62100000004</v>
      </c>
      <c r="E15" s="3" t="s">
        <v>50</v>
      </c>
      <c r="H15" s="3" t="s">
        <v>38</v>
      </c>
      <c r="I15" s="5">
        <v>190959.44999999995</v>
      </c>
      <c r="K15" s="3" t="s">
        <v>30</v>
      </c>
      <c r="L15" s="5">
        <v>718745.00499999896</v>
      </c>
    </row>
    <row r="16" spans="2:12" x14ac:dyDescent="0.25">
      <c r="B16" s="3" t="s">
        <v>13</v>
      </c>
      <c r="C16" s="5">
        <v>233080.36130000002</v>
      </c>
      <c r="E16" s="2" t="s">
        <v>49</v>
      </c>
      <c r="F16" t="s">
        <v>0</v>
      </c>
      <c r="H16" s="3" t="s">
        <v>34</v>
      </c>
      <c r="I16" s="5">
        <v>254994</v>
      </c>
      <c r="K16" s="3" t="s">
        <v>31</v>
      </c>
      <c r="L16" s="5">
        <v>310402.93140000023</v>
      </c>
    </row>
    <row r="17" spans="2:12" x14ac:dyDescent="0.25">
      <c r="B17" s="3" t="s">
        <v>14</v>
      </c>
      <c r="C17" s="5">
        <v>189721.56949999995</v>
      </c>
      <c r="E17" s="3" t="s">
        <v>48</v>
      </c>
      <c r="F17" s="5">
        <v>1683325.3036999993</v>
      </c>
      <c r="H17" s="3" t="s">
        <v>37</v>
      </c>
      <c r="I17" s="5">
        <v>263486.40000000002</v>
      </c>
      <c r="K17" s="3" t="s">
        <v>32</v>
      </c>
      <c r="L17" s="5">
        <v>791536.99460000009</v>
      </c>
    </row>
    <row r="18" spans="2:12" x14ac:dyDescent="0.25">
      <c r="B18" s="3" t="s">
        <v>15</v>
      </c>
      <c r="C18" s="5">
        <v>274368.30580000003</v>
      </c>
      <c r="E18" s="3" t="s">
        <v>47</v>
      </c>
      <c r="F18" s="5">
        <v>768758.99759999989</v>
      </c>
      <c r="H18" s="3" t="s">
        <v>36</v>
      </c>
      <c r="I18" s="5">
        <v>273532.5</v>
      </c>
      <c r="K18" s="3" t="s">
        <v>33</v>
      </c>
      <c r="L18" s="5">
        <v>631399.37030000007</v>
      </c>
    </row>
    <row r="19" spans="2:12" x14ac:dyDescent="0.25">
      <c r="B19" s="3" t="s">
        <v>16</v>
      </c>
      <c r="C19" s="5">
        <v>186519.01120000007</v>
      </c>
      <c r="E19" s="3" t="s">
        <v>4</v>
      </c>
      <c r="F19" s="5">
        <v>2452084.3012999976</v>
      </c>
      <c r="H19" s="3" t="s">
        <v>35</v>
      </c>
      <c r="I19" s="5">
        <v>432576.06</v>
      </c>
      <c r="K19" s="3" t="s">
        <v>4</v>
      </c>
      <c r="L19" s="5">
        <v>2452084.3012999976</v>
      </c>
    </row>
    <row r="20" spans="2:12" x14ac:dyDescent="0.25">
      <c r="B20" s="3" t="s">
        <v>4</v>
      </c>
      <c r="C20" s="5">
        <v>2452084.3012999976</v>
      </c>
      <c r="H20" s="3" t="s">
        <v>4</v>
      </c>
      <c r="I20" s="5">
        <v>1415548.41</v>
      </c>
    </row>
    <row r="21" spans="2:12" x14ac:dyDescent="0.25">
      <c r="E21" t="str">
        <f>E17</f>
        <v>Returning</v>
      </c>
      <c r="F21" s="7">
        <f>F17/F19</f>
        <v>0.68648753340477209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CF5D-E8B2-4DEB-ABF4-D811651EAEBC}">
  <dimension ref="A1"/>
  <sheetViews>
    <sheetView showGridLines="0" tabSelected="1" zoomScale="70" zoomScaleNormal="70" workbookViewId="0">
      <selection activeCell="U11" sqref="A1:XFD1048576"/>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F6B996-AE9B-45FE-AD42-93336C8213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Kolade Bamidele</dc:creator>
  <cp:lastModifiedBy>Kolade Bamidele</cp:lastModifiedBy>
  <dcterms:created xsi:type="dcterms:W3CDTF">2026-09-28T12:37:57Z</dcterms:created>
  <dcterms:modified xsi:type="dcterms:W3CDTF">2026-09-28T22:39:37Z</dcterms:modified>
</cp:coreProperties>
</file>